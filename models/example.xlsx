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<sst xmlns="http://schemas.openxmlformats.org/spreadsheetml/2006/main" count="12" uniqueCount="12">
  <si>
    <t>Date</t>
  </si>
  <si>
    <t>Description</t>
  </si>
  <si>
    <t>Amt Claimed (USD)</t>
  </si>
  <si>
    <r>
      <rPr>
        <rFont val="Arial"/>
        <b/>
        <color theme="1"/>
      </rPr>
      <t xml:space="preserve">Receipt Amt
</t>
    </r>
    <r>
      <rPr>
        <rFont val="Arial"/>
        <b/>
        <color theme="1"/>
        <sz val="8.0"/>
      </rPr>
      <t>if different from amt claimed</t>
    </r>
  </si>
  <si>
    <t>Transportation - Lyft to Airport</t>
  </si>
  <si>
    <t>Food - Chilis</t>
  </si>
  <si>
    <t>Food - Subs and Dogs</t>
  </si>
  <si>
    <t>Food - Switch</t>
  </si>
  <si>
    <t>Food - Taqueria San Luis</t>
  </si>
  <si>
    <t>Food - Giovannis</t>
  </si>
  <si>
    <t>Food - Pint and Barrel</t>
  </si>
  <si>
    <t>Total: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</si>
</sst>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 mm dd"/>
    <numFmt numFmtId="165" formatCode="&quot;$&quot;#,##0.00"/>
    <numFmt numFmtId="166" formatCode="yyyy&quot; &quot;mm&quot; &quot;dd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3">
    <border/>
    <border>
      <bottom style="medium">
        <color rgb="FF000000"/>
      </bottom>
    </border>
    <border>
      <top style="dotted">
        <color rgb="FF000000"/>
      </top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left" readingOrder="0" vertical="center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horizontal="left" readingOrder="0"/>
    </xf>
    <xf borderId="0" fillId="0" fontId="2" numFmtId="165" xfId="0" applyAlignment="1" applyFont="1" applyNumberFormat="1">
      <alignment readingOrder="0"/>
    </xf>
    <xf borderId="0" fillId="0" fontId="2" numFmtId="165" xfId="0" applyFont="1" applyNumberFormat="1"/>
    <xf borderId="0" fillId="0" fontId="2" numFmtId="166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2" fillId="0" fontId="2" numFmtId="0" xfId="0" applyBorder="1" applyFont="1"/>
    <xf borderId="2" fillId="0" fontId="2" numFmtId="0" xfId="0" applyAlignment="1" applyBorder="1" applyFont="1">
      <alignment horizontal="left" readingOrder="0"/>
    </xf>
    <xf borderId="2" fillId="0" fontId="2" numFmtId="165" xfId="0" applyBorder="1" applyFont="1" applyNumberFormat="1"/>
    <xf borderId="0" fillId="0" fontId="2" numFmtId="0" xfId="0" applyFont="1"/>
    <xf borderId="0" fillId="0" fontId="1" numFmtId="0" xfId="0" applyAlignment="1" applyFont="1">
      <alignment horizontal="right" readingOrder="0"/>
    </xf>
    <xf borderId="0" fillId="0" fontId="2" numFmtId="0" xfId="0" applyAlignment="1" applyFont="1">
      <alignment horizontal="left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1">
    <tableStyle count="3" pivot="0" name="Sheet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28" displayName="Table_1" name="Table_1" id="1">
  <tableColumns count="4">
    <tableColumn name="Date" id="1"/>
    <tableColumn name="Description" id="2"/>
    <tableColumn name="Amt Claimed (USD)" id="3"/>
    <tableColumn name="Receipt Amt_x000a_if different from amt claimed" id="4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1.38"/>
    <col customWidth="1" min="3" max="4" width="18.88"/>
  </cols>
  <sheetData>
    <row r="1">
      <c r="A1" s="1" t="s">
        <v>0</v>
      </c>
      <c r="B1" s="2" t="s">
        <v>1</v>
      </c>
      <c r="C1" s="1" t="s">
        <v>2</v>
      </c>
      <c r="D1" s="1" t="s">
        <v>3</v>
      </c>
    </row>
    <row r="2">
      <c r="A2" s="3">
        <v>45833.0</v>
      </c>
      <c r="B2" s="4" t="s">
        <v>4</v>
      </c>
      <c r="C2" s="5">
        <v>54.91</v>
      </c>
      <c r="D2" s="6"/>
    </row>
    <row r="3">
      <c r="A3" s="7">
        <v>45831.0</v>
      </c>
      <c r="B3" s="4" t="s">
        <v>5</v>
      </c>
      <c r="C3" s="8">
        <v>45.94</v>
      </c>
      <c r="D3" s="6"/>
    </row>
    <row r="4">
      <c r="A4" s="7">
        <v>45831.0</v>
      </c>
      <c r="B4" s="4" t="s">
        <v>6</v>
      </c>
      <c r="C4" s="8">
        <v>11.31</v>
      </c>
      <c r="D4" s="6"/>
    </row>
    <row r="5">
      <c r="A5" s="7">
        <v>45832.0</v>
      </c>
      <c r="B5" s="4" t="s">
        <v>7</v>
      </c>
      <c r="C5" s="8">
        <f>(17+9)*(1 + ((2.15+0.66+7.62)/D5))</f>
        <v>31.93132108</v>
      </c>
      <c r="D5" s="8">
        <v>45.72</v>
      </c>
    </row>
    <row r="6">
      <c r="A6" s="7">
        <v>45832.0</v>
      </c>
      <c r="B6" s="4" t="s">
        <v>8</v>
      </c>
      <c r="C6" s="8">
        <v>19.23</v>
      </c>
      <c r="D6" s="6"/>
    </row>
    <row r="7">
      <c r="A7" s="7">
        <v>45833.0</v>
      </c>
      <c r="B7" s="4" t="s">
        <v>9</v>
      </c>
      <c r="C7" s="8">
        <v>42.71</v>
      </c>
      <c r="D7" s="6"/>
    </row>
    <row r="8">
      <c r="A8" s="7">
        <v>45834.0</v>
      </c>
      <c r="B8" s="4" t="s">
        <v>10</v>
      </c>
      <c r="C8" s="8">
        <v>16.65</v>
      </c>
      <c r="D8" s="6"/>
    </row>
    <row r="9">
      <c r="A9" s="9"/>
      <c r="B9" s="10"/>
      <c r="C9" s="11"/>
      <c r="D9" s="9"/>
    </row>
    <row r="10">
      <c r="A10" s="12"/>
      <c r="B10" s="13" t="s">
        <v>11</v>
      </c>
      <c r="C10" s="6">
        <f>SUM(C2:C8)</f>
        <v>222.6813211</v>
      </c>
      <c r="D10" s="12"/>
    </row>
    <row r="11">
      <c r="A11" s="12"/>
      <c r="C11" s="6"/>
      <c r="D11" s="12"/>
    </row>
    <row r="12">
      <c r="A12" s="12"/>
      <c r="B12" s="14"/>
      <c r="C12" s="12"/>
      <c r="D12" s="12"/>
    </row>
    <row r="13">
      <c r="A13" s="12"/>
      <c r="B13" s="14"/>
      <c r="C13" s="12"/>
      <c r="D13" s="12"/>
    </row>
    <row r="14">
      <c r="A14" s="12"/>
      <c r="B14" s="14"/>
      <c r="C14" s="12"/>
      <c r="D14" s="12"/>
    </row>
    <row r="15">
      <c r="A15" s="12"/>
      <c r="B15" s="14"/>
      <c r="C15" s="12"/>
      <c r="D15" s="12"/>
    </row>
    <row r="16">
      <c r="A16" s="12"/>
      <c r="B16" s="14"/>
      <c r="C16" s="12"/>
      <c r="D16" s="12"/>
    </row>
    <row r="17">
      <c r="A17" s="12"/>
      <c r="B17" s="14"/>
      <c r="C17" s="12"/>
      <c r="D17" s="12"/>
    </row>
    <row r="18">
      <c r="A18" s="12"/>
      <c r="B18" s="14"/>
      <c r="C18" s="12"/>
      <c r="D18" s="12"/>
    </row>
    <row r="19">
      <c r="A19" s="12"/>
      <c r="B19" s="14"/>
      <c r="C19" s="12"/>
      <c r="D19" s="12"/>
    </row>
    <row r="20">
      <c r="A20" s="12"/>
      <c r="B20" s="14"/>
      <c r="C20" s="12"/>
      <c r="D20" s="12"/>
    </row>
    <row r="21">
      <c r="A21" s="12"/>
      <c r="B21" s="14"/>
      <c r="C21" s="12"/>
      <c r="D21" s="12"/>
    </row>
    <row r="22">
      <c r="A22" s="12"/>
      <c r="B22" s="14"/>
      <c r="C22" s="12"/>
      <c r="D22" s="12"/>
    </row>
    <row r="23">
      <c r="A23" s="12"/>
      <c r="B23" s="14"/>
      <c r="C23" s="12"/>
      <c r="D23" s="12"/>
    </row>
    <row r="24">
      <c r="A24" s="12"/>
      <c r="B24" s="14"/>
      <c r="C24" s="12"/>
      <c r="D24" s="12"/>
    </row>
    <row r="25">
      <c r="A25" s="12"/>
      <c r="B25" s="14"/>
      <c r="C25" s="12"/>
      <c r="D25" s="12"/>
    </row>
    <row r="26">
      <c r="A26" s="12"/>
      <c r="B26" s="14"/>
      <c r="C26" s="12"/>
      <c r="D26" s="12"/>
    </row>
    <row r="27">
      <c r="A27" s="12"/>
      <c r="B27" s="14"/>
      <c r="C27" s="12"/>
      <c r="D27" s="12"/>
    </row>
    <row r="28">
      <c r="A28" s="12"/>
      <c r="B28" s="14"/>
      <c r="C28" s="12"/>
      <c r="D28" s="12"/>
    </row>
  </sheetData>
  <drawing r:id="rId1"/>
  <tableParts count="1">
    <tablePart r:id="rId3"/>
  </tableParts>
</worksheet>
</file>